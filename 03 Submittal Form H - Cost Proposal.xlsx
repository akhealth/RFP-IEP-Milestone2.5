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1 EIS 2015\RFP &amp; Proposal\Milestone 2.5 Data Architecture and Interoperability\"/>
    </mc:Choice>
  </mc:AlternateContent>
  <xr:revisionPtr revIDLastSave="0" documentId="13_ncr:1_{81D5AD34-2E89-4519-B390-4E56187C8580}" xr6:coauthVersionLast="47" xr6:coauthVersionMax="47" xr10:uidLastSave="{00000000-0000-0000-0000-000000000000}"/>
  <bookViews>
    <workbookView xWindow="-108" yWindow="-108" windowWidth="23256" windowHeight="12720" xr2:uid="{C5E92C15-DCDB-42FB-9C74-FD2D64A449BD}"/>
  </bookViews>
  <sheets>
    <sheet name="Sheet1" sheetId="1" r:id="rId1"/>
  </sheets>
  <definedNames>
    <definedName name="_xlnm.Print_Area" localSheetId="0">Sheet1!$A$1:$G$39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G12" i="1"/>
  <c r="G13" i="1"/>
  <c r="G14" i="1"/>
  <c r="G15" i="1"/>
  <c r="G16" i="1"/>
  <c r="G17" i="1"/>
  <c r="G18" i="1"/>
  <c r="G19" i="1"/>
  <c r="G20" i="1"/>
  <c r="G21" i="1"/>
  <c r="G22" i="1"/>
  <c r="G23" i="1"/>
  <c r="G24" i="1"/>
  <c r="G25" i="1"/>
  <c r="G26" i="1"/>
  <c r="G27" i="1"/>
  <c r="G28" i="1"/>
  <c r="G10" i="1"/>
  <c r="F38" i="1"/>
  <c r="G29" i="1" l="1"/>
  <c r="F39" i="1" s="1"/>
</calcChain>
</file>

<file path=xl/sharedStrings.xml><?xml version="1.0" encoding="utf-8"?>
<sst xmlns="http://schemas.openxmlformats.org/spreadsheetml/2006/main" count="26" uniqueCount="25">
  <si>
    <t>The purpose of the cost proposal format below is to allow Offerors to submit pricing in a consistent manner that the State can evaluate and score. The State has provided the desired rate type multipliers to provide a mechanism to correlate costs to the anticipated budget. These estimates are not a guarantee of services or payment, which will be paid via the contract, for actual services provided.</t>
  </si>
  <si>
    <t>Please enter your costs in the spaces provided below for each role, material, and any additional costs that will be incurred. All costs proposed in each section below must include all anticipated expenses, including scheduling, communication, implementation, and documentation. No additional costs may be billed to the contract without prior approval by the State, via a contract amendment.</t>
  </si>
  <si>
    <t>Section 1
This section will be included in the evaluation scoring process.</t>
  </si>
  <si>
    <t xml:space="preserve">Offeror's Name: </t>
  </si>
  <si>
    <t>Estimated cost for the contract period</t>
  </si>
  <si>
    <t>Estimated hours for the contract period</t>
  </si>
  <si>
    <t>Hourly rate for the contract period</t>
  </si>
  <si>
    <t>Role (please provide a separate line for every role required) Note: at a minimum key staff positions must be named in this table</t>
  </si>
  <si>
    <t>Materials, travel, and all other non-personnel project costs (please itemize categories)</t>
  </si>
  <si>
    <t>Section 1 Total</t>
  </si>
  <si>
    <t>Section 2 Total</t>
  </si>
  <si>
    <t>Sample Project Manager</t>
  </si>
  <si>
    <t>Sample Business Analyst</t>
  </si>
  <si>
    <t>Sample Travel</t>
  </si>
  <si>
    <t>Sample Supplies</t>
  </si>
  <si>
    <t xml:space="preserve">       The items above are for illustration purposes***</t>
  </si>
  <si>
    <t xml:space="preserve">***Note: delete above and add your roles, rates, and hours. The items above are for </t>
  </si>
  <si>
    <t xml:space="preserve">      illustration purposes***</t>
  </si>
  <si>
    <t>Sample Systems/Technical Architect (Technical Lead)</t>
  </si>
  <si>
    <t>Sample Data Architect</t>
  </si>
  <si>
    <t>Sample Data Engineer</t>
  </si>
  <si>
    <t>Sample Security Consultant</t>
  </si>
  <si>
    <t>Proposals will be evaluated on Section 1 below. Total project cost in excess of $5,000,000.00 will cause the proposal to be considered non-responsive and be rejected.</t>
  </si>
  <si>
    <t>Section 2
The below costs will not be used to directly compare offeror's proposals for the purposes of the evaluation scoring process but will be considered for the resulting contract. The total costs for staffing above and the costs below must not exceed the total project budget of $5,000,000.00.</t>
  </si>
  <si>
    <t>TOTAL PROJECT BUDGET (not to exceed $5,000,000.00)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</si>
</sst>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Aptos Narrow"/>
      <family val="2"/>
      <scheme val="minor"/>
    </font>
    <font>
      <b/>
      <sz val="11"/>
      <color theme="1"/>
      <name val="Aptos Narrow"/>
      <family val="2"/>
      <scheme val="minor"/>
    </font>
    <font>
      <b/>
      <sz val="12"/>
      <color theme="1"/>
      <name val="Times New Roman"/>
      <family val="1"/>
    </font>
    <font>
      <sz val="12"/>
      <color theme="1"/>
      <name val="Times New Roman"/>
      <family val="1"/>
    </font>
    <font>
      <b/>
      <sz val="12"/>
      <color theme="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6">
    <border>
      <left/>
      <right/>
      <top/>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1" xfId="0" applyFont="1" applyBorder="1" applyAlignment="1" applyProtection="1">
      <alignment horizontal="left"/>
      <protection locked="0"/>
    </xf>
    <xf numFmtId="0" fontId="3" fillId="0" borderId="0" xfId="0" applyFont="1"/>
    <xf numFmtId="0" fontId="1" fillId="0" borderId="3" xfId="0" applyFont="1" applyBorder="1" applyAlignment="1">
      <alignment wrapText="1"/>
    </xf>
    <xf numFmtId="44" fontId="1" fillId="0" borderId="3" xfId="0" applyNumberFormat="1" applyFont="1" applyBorder="1"/>
    <xf numFmtId="0" fontId="4" fillId="0" borderId="1" xfId="0" applyFont="1" applyBorder="1" applyAlignment="1" applyProtection="1">
      <alignment horizontal="left"/>
      <protection locked="0"/>
    </xf>
    <xf numFmtId="44" fontId="0" fillId="0" borderId="3" xfId="0" applyNumberFormat="1" applyBorder="1"/>
    <xf numFmtId="44" fontId="0" fillId="2" borderId="3" xfId="0" applyNumberFormat="1" applyFill="1" applyBorder="1" applyAlignment="1" applyProtection="1">
      <alignment horizontal="center"/>
      <protection locked="0"/>
    </xf>
    <xf numFmtId="1" fontId="0" fillId="2" borderId="3" xfId="0" applyNumberFormat="1" applyFill="1" applyBorder="1" applyAlignment="1" applyProtection="1">
      <alignment horizontal="center"/>
      <protection locked="0"/>
    </xf>
    <xf numFmtId="0" fontId="0" fillId="2" borderId="3" xfId="0" applyFill="1" applyBorder="1" applyAlignment="1" applyProtection="1">
      <alignment horizontal="left"/>
      <protection locked="0"/>
    </xf>
    <xf numFmtId="0" fontId="0" fillId="0" borderId="3" xfId="0" applyBorder="1" applyAlignment="1">
      <alignment horizontal="left"/>
    </xf>
    <xf numFmtId="44" fontId="0" fillId="2" borderId="4" xfId="0" applyNumberFormat="1" applyFill="1" applyBorder="1" applyAlignment="1" applyProtection="1">
      <alignment horizontal="left"/>
      <protection locked="0"/>
    </xf>
    <xf numFmtId="44" fontId="0" fillId="2" borderId="5" xfId="0" applyNumberFormat="1" applyFill="1" applyBorder="1" applyAlignment="1" applyProtection="1">
      <alignment horizontal="left"/>
      <protection locked="0"/>
    </xf>
    <xf numFmtId="0" fontId="1" fillId="0" borderId="3" xfId="0" applyFont="1" applyBorder="1" applyAlignment="1">
      <alignment horizontal="center" wrapText="1"/>
    </xf>
    <xf numFmtId="0" fontId="1" fillId="0" borderId="3" xfId="0" applyFont="1" applyBorder="1" applyAlignment="1">
      <alignment horizontal="right"/>
    </xf>
    <xf numFmtId="0" fontId="0" fillId="0" borderId="0" xfId="0" applyAlignment="1">
      <alignment wrapText="1"/>
    </xf>
    <xf numFmtId="0" fontId="0" fillId="0" borderId="0" xfId="0"/>
    <xf numFmtId="0" fontId="1" fillId="0" borderId="3" xfId="0" applyFont="1" applyBorder="1" applyAlignment="1">
      <alignment horizontal="center"/>
    </xf>
    <xf numFmtId="0" fontId="1" fillId="0" borderId="3" xfId="0" applyFont="1" applyBorder="1" applyAlignment="1">
      <alignment wrapText="1"/>
    </xf>
    <xf numFmtId="0" fontId="4" fillId="2" borderId="2" xfId="0" applyFont="1" applyFill="1" applyBorder="1" applyAlignment="1" applyProtection="1">
      <alignment horizontal="left"/>
      <protection locked="0"/>
    </xf>
    <xf numFmtId="0" fontId="0" fillId="0" borderId="2" xfId="0" applyBorder="1" applyAlignment="1">
      <alignment horizontal="left"/>
    </xf>
    <xf numFmtId="44" fontId="1" fillId="0" borderId="3" xfId="0" applyNumberFormat="1" applyFont="1" applyBorder="1"/>
    <xf numFmtId="0" fontId="0" fillId="0" borderId="3" xfId="0" applyBorder="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A6EE-35E7-467B-BE9B-05CC923A08C2}">
  <sheetPr>
    <pageSetUpPr fitToPage="1"/>
  </sheetPr>
  <dimension ref="A1:G39"/>
  <sheetViews>
    <sheetView tabSelected="1" zoomScaleNormal="100" workbookViewId="0">
      <selection activeCell="A4" sqref="A4:G4"/>
    </sheetView>
  </sheetViews>
  <sheetFormatPr defaultRowHeight="14.4" x14ac:dyDescent="0.3"/>
  <cols>
    <col min="3" max="3" width="9.5546875" customWidth="1"/>
    <col min="4" max="4" width="34.33203125" customWidth="1"/>
    <col min="5" max="5" width="14.33203125" customWidth="1"/>
    <col min="6" max="6" width="15" customWidth="1"/>
    <col min="7" max="7" width="15.33203125" customWidth="1"/>
  </cols>
  <sheetData>
    <row r="1" spans="1:7" s="2" customFormat="1" ht="16.2" thickBot="1" x14ac:dyDescent="0.35">
      <c r="A1" s="1" t="s">
        <v>3</v>
      </c>
      <c r="B1" s="5"/>
      <c r="C1" s="19"/>
      <c r="D1" s="20"/>
      <c r="E1" s="20"/>
      <c r="F1" s="20"/>
      <c r="G1" s="20"/>
    </row>
    <row r="2" spans="1:7" ht="60" customHeight="1" x14ac:dyDescent="0.3">
      <c r="A2" s="15" t="s">
        <v>0</v>
      </c>
      <c r="B2" s="16"/>
      <c r="C2" s="16"/>
      <c r="D2" s="16"/>
      <c r="E2" s="16"/>
      <c r="F2" s="16"/>
      <c r="G2" s="16"/>
    </row>
    <row r="3" spans="1:7" x14ac:dyDescent="0.3">
      <c r="A3" s="16"/>
      <c r="B3" s="16"/>
      <c r="C3" s="16"/>
      <c r="D3" s="16"/>
      <c r="E3" s="16"/>
      <c r="F3" s="16"/>
      <c r="G3" s="16"/>
    </row>
    <row r="4" spans="1:7" ht="30" customHeight="1" x14ac:dyDescent="0.3">
      <c r="A4" s="15" t="s">
        <v>22</v>
      </c>
      <c r="B4" s="15"/>
      <c r="C4" s="15"/>
      <c r="D4" s="15"/>
      <c r="E4" s="15"/>
      <c r="F4" s="15"/>
      <c r="G4" s="15"/>
    </row>
    <row r="5" spans="1:7" x14ac:dyDescent="0.3">
      <c r="A5" s="16"/>
      <c r="B5" s="16"/>
      <c r="C5" s="16"/>
      <c r="D5" s="16"/>
      <c r="E5" s="16"/>
      <c r="F5" s="16"/>
      <c r="G5" s="16"/>
    </row>
    <row r="6" spans="1:7" ht="60" customHeight="1" x14ac:dyDescent="0.3">
      <c r="A6" s="15" t="s">
        <v>1</v>
      </c>
      <c r="B6" s="15"/>
      <c r="C6" s="15"/>
      <c r="D6" s="15"/>
      <c r="E6" s="15"/>
      <c r="F6" s="15"/>
      <c r="G6" s="15"/>
    </row>
    <row r="7" spans="1:7" x14ac:dyDescent="0.3">
      <c r="A7" s="16"/>
      <c r="B7" s="16"/>
      <c r="C7" s="16"/>
      <c r="D7" s="16"/>
      <c r="E7" s="16"/>
      <c r="F7" s="16"/>
      <c r="G7" s="16"/>
    </row>
    <row r="8" spans="1:7" ht="30" customHeight="1" x14ac:dyDescent="0.3">
      <c r="A8" s="13" t="s">
        <v>2</v>
      </c>
      <c r="B8" s="17"/>
      <c r="C8" s="17"/>
      <c r="D8" s="17"/>
      <c r="E8" s="17"/>
      <c r="F8" s="17"/>
      <c r="G8" s="17"/>
    </row>
    <row r="9" spans="1:7" ht="43.2" x14ac:dyDescent="0.3">
      <c r="A9" s="18" t="s">
        <v>7</v>
      </c>
      <c r="B9" s="18"/>
      <c r="C9" s="18"/>
      <c r="D9" s="18"/>
      <c r="E9" s="3" t="s">
        <v>6</v>
      </c>
      <c r="F9" s="3" t="s">
        <v>5</v>
      </c>
      <c r="G9" s="3" t="s">
        <v>4</v>
      </c>
    </row>
    <row r="10" spans="1:7" x14ac:dyDescent="0.3">
      <c r="A10" s="9" t="s">
        <v>11</v>
      </c>
      <c r="B10" s="22"/>
      <c r="C10" s="22"/>
      <c r="D10" s="22"/>
      <c r="E10" s="7">
        <v>150</v>
      </c>
      <c r="F10" s="8">
        <v>2080</v>
      </c>
      <c r="G10" s="6">
        <f>E10*F10</f>
        <v>312000</v>
      </c>
    </row>
    <row r="11" spans="1:7" x14ac:dyDescent="0.3">
      <c r="A11" s="9" t="s">
        <v>18</v>
      </c>
      <c r="B11" s="22"/>
      <c r="C11" s="22"/>
      <c r="D11" s="22"/>
      <c r="E11" s="7">
        <v>200</v>
      </c>
      <c r="F11" s="8">
        <v>2080</v>
      </c>
      <c r="G11" s="6">
        <f t="shared" ref="G11:G28" si="0">E11*F11</f>
        <v>416000</v>
      </c>
    </row>
    <row r="12" spans="1:7" x14ac:dyDescent="0.3">
      <c r="A12" s="9" t="s">
        <v>19</v>
      </c>
      <c r="B12" s="22"/>
      <c r="C12" s="22"/>
      <c r="D12" s="22"/>
      <c r="E12" s="7">
        <v>175</v>
      </c>
      <c r="F12" s="8">
        <v>4160</v>
      </c>
      <c r="G12" s="6">
        <f t="shared" si="0"/>
        <v>728000</v>
      </c>
    </row>
    <row r="13" spans="1:7" x14ac:dyDescent="0.3">
      <c r="A13" s="9" t="s">
        <v>20</v>
      </c>
      <c r="B13" s="22"/>
      <c r="C13" s="22"/>
      <c r="D13" s="22"/>
      <c r="E13" s="7">
        <v>170</v>
      </c>
      <c r="F13" s="8">
        <v>8320</v>
      </c>
      <c r="G13" s="6">
        <f t="shared" si="0"/>
        <v>1414400</v>
      </c>
    </row>
    <row r="14" spans="1:7" x14ac:dyDescent="0.3">
      <c r="A14" s="9" t="s">
        <v>12</v>
      </c>
      <c r="B14" s="22"/>
      <c r="C14" s="22"/>
      <c r="D14" s="22"/>
      <c r="E14" s="7">
        <v>140</v>
      </c>
      <c r="F14" s="8">
        <v>8320</v>
      </c>
      <c r="G14" s="6">
        <f t="shared" si="0"/>
        <v>1164800</v>
      </c>
    </row>
    <row r="15" spans="1:7" x14ac:dyDescent="0.3">
      <c r="A15" s="9" t="s">
        <v>21</v>
      </c>
      <c r="B15" s="22"/>
      <c r="C15" s="22"/>
      <c r="D15" s="22"/>
      <c r="E15" s="7">
        <v>250</v>
      </c>
      <c r="F15" s="8">
        <v>2080</v>
      </c>
      <c r="G15" s="6">
        <f t="shared" si="0"/>
        <v>520000</v>
      </c>
    </row>
    <row r="16" spans="1:7" x14ac:dyDescent="0.3">
      <c r="A16" s="9" t="s">
        <v>15</v>
      </c>
      <c r="B16" s="22"/>
      <c r="C16" s="22"/>
      <c r="D16" s="22"/>
      <c r="E16" s="7"/>
      <c r="F16" s="8"/>
      <c r="G16" s="6">
        <f t="shared" si="0"/>
        <v>0</v>
      </c>
    </row>
    <row r="17" spans="1:7" x14ac:dyDescent="0.3">
      <c r="A17" s="9"/>
      <c r="B17" s="22"/>
      <c r="C17" s="22"/>
      <c r="D17" s="22"/>
      <c r="E17" s="7"/>
      <c r="F17" s="8"/>
      <c r="G17" s="6">
        <f t="shared" si="0"/>
        <v>0</v>
      </c>
    </row>
    <row r="18" spans="1:7" x14ac:dyDescent="0.3">
      <c r="A18" s="9"/>
      <c r="B18" s="22"/>
      <c r="C18" s="22"/>
      <c r="D18" s="22"/>
      <c r="E18" s="7"/>
      <c r="F18" s="8"/>
      <c r="G18" s="6">
        <f t="shared" si="0"/>
        <v>0</v>
      </c>
    </row>
    <row r="19" spans="1:7" x14ac:dyDescent="0.3">
      <c r="A19" s="9"/>
      <c r="B19" s="22"/>
      <c r="C19" s="22"/>
      <c r="D19" s="22"/>
      <c r="E19" s="7"/>
      <c r="F19" s="8"/>
      <c r="G19" s="6">
        <f t="shared" si="0"/>
        <v>0</v>
      </c>
    </row>
    <row r="20" spans="1:7" x14ac:dyDescent="0.3">
      <c r="A20" s="9"/>
      <c r="B20" s="22"/>
      <c r="C20" s="22"/>
      <c r="D20" s="22"/>
      <c r="E20" s="7"/>
      <c r="F20" s="8"/>
      <c r="G20" s="6">
        <f t="shared" si="0"/>
        <v>0</v>
      </c>
    </row>
    <row r="21" spans="1:7" x14ac:dyDescent="0.3">
      <c r="A21" s="9"/>
      <c r="B21" s="22"/>
      <c r="C21" s="22"/>
      <c r="D21" s="22"/>
      <c r="E21" s="7"/>
      <c r="F21" s="8"/>
      <c r="G21" s="6">
        <f t="shared" si="0"/>
        <v>0</v>
      </c>
    </row>
    <row r="22" spans="1:7" x14ac:dyDescent="0.3">
      <c r="A22" s="9"/>
      <c r="B22" s="22"/>
      <c r="C22" s="22"/>
      <c r="D22" s="22"/>
      <c r="E22" s="7"/>
      <c r="F22" s="8"/>
      <c r="G22" s="6">
        <f t="shared" si="0"/>
        <v>0</v>
      </c>
    </row>
    <row r="23" spans="1:7" x14ac:dyDescent="0.3">
      <c r="A23" s="9"/>
      <c r="B23" s="22"/>
      <c r="C23" s="22"/>
      <c r="D23" s="22"/>
      <c r="E23" s="7"/>
      <c r="F23" s="8"/>
      <c r="G23" s="6">
        <f t="shared" si="0"/>
        <v>0</v>
      </c>
    </row>
    <row r="24" spans="1:7" x14ac:dyDescent="0.3">
      <c r="A24" s="9"/>
      <c r="B24" s="22"/>
      <c r="C24" s="22"/>
      <c r="D24" s="22"/>
      <c r="E24" s="7"/>
      <c r="F24" s="8"/>
      <c r="G24" s="6">
        <f t="shared" si="0"/>
        <v>0</v>
      </c>
    </row>
    <row r="25" spans="1:7" x14ac:dyDescent="0.3">
      <c r="A25" s="9"/>
      <c r="B25" s="10"/>
      <c r="C25" s="10"/>
      <c r="D25" s="10"/>
      <c r="E25" s="7"/>
      <c r="F25" s="8"/>
      <c r="G25" s="6">
        <f t="shared" si="0"/>
        <v>0</v>
      </c>
    </row>
    <row r="26" spans="1:7" x14ac:dyDescent="0.3">
      <c r="A26" s="9"/>
      <c r="B26" s="10"/>
      <c r="C26" s="10"/>
      <c r="D26" s="10"/>
      <c r="E26" s="7"/>
      <c r="F26" s="8"/>
      <c r="G26" s="6">
        <f t="shared" si="0"/>
        <v>0</v>
      </c>
    </row>
    <row r="27" spans="1:7" x14ac:dyDescent="0.3">
      <c r="A27" s="9"/>
      <c r="B27" s="10"/>
      <c r="C27" s="10"/>
      <c r="D27" s="10"/>
      <c r="E27" s="7"/>
      <c r="F27" s="8"/>
      <c r="G27" s="6">
        <f t="shared" si="0"/>
        <v>0</v>
      </c>
    </row>
    <row r="28" spans="1:7" x14ac:dyDescent="0.3">
      <c r="A28" s="9"/>
      <c r="B28" s="10"/>
      <c r="C28" s="10"/>
      <c r="D28" s="10"/>
      <c r="E28" s="7"/>
      <c r="F28" s="8"/>
      <c r="G28" s="6">
        <f t="shared" si="0"/>
        <v>0</v>
      </c>
    </row>
    <row r="29" spans="1:7" x14ac:dyDescent="0.3">
      <c r="A29" s="14" t="s">
        <v>9</v>
      </c>
      <c r="B29" s="14"/>
      <c r="C29" s="14"/>
      <c r="D29" s="14"/>
      <c r="E29" s="14"/>
      <c r="F29" s="14"/>
      <c r="G29" s="4">
        <f>SUM(G10:G28)</f>
        <v>4555200</v>
      </c>
    </row>
    <row r="30" spans="1:7" ht="60" customHeight="1" x14ac:dyDescent="0.3">
      <c r="A30" s="13" t="s">
        <v>23</v>
      </c>
      <c r="B30" s="13"/>
      <c r="C30" s="13"/>
      <c r="D30" s="13"/>
      <c r="E30" s="13"/>
      <c r="F30" s="13"/>
      <c r="G30" s="13"/>
    </row>
    <row r="31" spans="1:7" ht="30" customHeight="1" x14ac:dyDescent="0.3">
      <c r="A31" s="13" t="s">
        <v>8</v>
      </c>
      <c r="B31" s="13"/>
      <c r="C31" s="13"/>
      <c r="D31" s="13"/>
      <c r="E31" s="13"/>
      <c r="F31" s="13" t="s">
        <v>4</v>
      </c>
      <c r="G31" s="13"/>
    </row>
    <row r="32" spans="1:7" x14ac:dyDescent="0.3">
      <c r="A32" s="9" t="s">
        <v>13</v>
      </c>
      <c r="B32" s="9"/>
      <c r="C32" s="9"/>
      <c r="D32" s="9"/>
      <c r="E32" s="9"/>
      <c r="F32" s="11">
        <v>10000</v>
      </c>
      <c r="G32" s="12"/>
    </row>
    <row r="33" spans="1:7" x14ac:dyDescent="0.3">
      <c r="A33" s="9" t="s">
        <v>14</v>
      </c>
      <c r="B33" s="9"/>
      <c r="C33" s="9"/>
      <c r="D33" s="9"/>
      <c r="E33" s="9"/>
      <c r="F33" s="11">
        <v>2000</v>
      </c>
      <c r="G33" s="12"/>
    </row>
    <row r="34" spans="1:7" x14ac:dyDescent="0.3">
      <c r="A34" s="9" t="s">
        <v>16</v>
      </c>
      <c r="B34" s="9"/>
      <c r="C34" s="9"/>
      <c r="D34" s="9"/>
      <c r="E34" s="9"/>
      <c r="F34" s="11"/>
      <c r="G34" s="12"/>
    </row>
    <row r="35" spans="1:7" x14ac:dyDescent="0.3">
      <c r="A35" s="9" t="s">
        <v>17</v>
      </c>
      <c r="B35" s="9"/>
      <c r="C35" s="9"/>
      <c r="D35" s="9"/>
      <c r="E35" s="9"/>
      <c r="F35" s="11"/>
      <c r="G35" s="12"/>
    </row>
    <row r="36" spans="1:7" x14ac:dyDescent="0.3">
      <c r="A36" s="9"/>
      <c r="B36" s="9"/>
      <c r="C36" s="9"/>
      <c r="D36" s="9"/>
      <c r="E36" s="9"/>
      <c r="F36" s="11"/>
      <c r="G36" s="12"/>
    </row>
    <row r="37" spans="1:7" x14ac:dyDescent="0.3">
      <c r="A37" s="9"/>
      <c r="B37" s="9"/>
      <c r="C37" s="9"/>
      <c r="D37" s="9"/>
      <c r="E37" s="9"/>
      <c r="F37" s="11"/>
      <c r="G37" s="12"/>
    </row>
    <row r="38" spans="1:7" x14ac:dyDescent="0.3">
      <c r="A38" s="14" t="s">
        <v>10</v>
      </c>
      <c r="B38" s="14"/>
      <c r="C38" s="14"/>
      <c r="D38" s="14"/>
      <c r="E38" s="14"/>
      <c r="F38" s="21">
        <f>SUM(F32:G37)</f>
        <v>12000</v>
      </c>
      <c r="G38" s="21"/>
    </row>
    <row r="39" spans="1:7" x14ac:dyDescent="0.3">
      <c r="A39" s="14" t="s">
        <v>24</v>
      </c>
      <c r="B39" s="14"/>
      <c r="C39" s="14"/>
      <c r="D39" s="14"/>
      <c r="E39" s="14"/>
      <c r="F39" s="21">
        <f>G29+F38</f>
        <v>4567200</v>
      </c>
      <c r="G39" s="21"/>
    </row>
  </sheetData>
  <mergeCells count="48">
    <mergeCell ref="A21:D21"/>
    <mergeCell ref="A22:D22"/>
    <mergeCell ref="A23:D23"/>
    <mergeCell ref="A24:D24"/>
    <mergeCell ref="A39:E39"/>
    <mergeCell ref="F38:G38"/>
    <mergeCell ref="F39:G39"/>
    <mergeCell ref="A27:D27"/>
    <mergeCell ref="A25:D25"/>
    <mergeCell ref="A26:D26"/>
    <mergeCell ref="A38:E38"/>
    <mergeCell ref="A34:E34"/>
    <mergeCell ref="A35:E35"/>
    <mergeCell ref="A36:E36"/>
    <mergeCell ref="A37:E37"/>
    <mergeCell ref="C1:G1"/>
    <mergeCell ref="A2:G2"/>
    <mergeCell ref="A3:G3"/>
    <mergeCell ref="A4:G4"/>
    <mergeCell ref="A5:G5"/>
    <mergeCell ref="A17:D17"/>
    <mergeCell ref="A6:G6"/>
    <mergeCell ref="A7:G7"/>
    <mergeCell ref="A8:G8"/>
    <mergeCell ref="A9:D9"/>
    <mergeCell ref="A10:D10"/>
    <mergeCell ref="A11:D11"/>
    <mergeCell ref="A12:D12"/>
    <mergeCell ref="A13:D13"/>
    <mergeCell ref="A14:D14"/>
    <mergeCell ref="A15:D15"/>
    <mergeCell ref="A16:D16"/>
    <mergeCell ref="A18:D18"/>
    <mergeCell ref="A19:D19"/>
    <mergeCell ref="A20:D20"/>
    <mergeCell ref="A28:D28"/>
    <mergeCell ref="F37:G37"/>
    <mergeCell ref="F36:G36"/>
    <mergeCell ref="F35:G35"/>
    <mergeCell ref="F34:G34"/>
    <mergeCell ref="A30:G30"/>
    <mergeCell ref="F33:G33"/>
    <mergeCell ref="F32:G32"/>
    <mergeCell ref="F31:G31"/>
    <mergeCell ref="A31:E31"/>
    <mergeCell ref="A32:E32"/>
    <mergeCell ref="A33:E33"/>
    <mergeCell ref="A29:F29"/>
  </mergeCells>
  <pageMargins left="0.45" right="0.45" top="0.5" bottom="0.5" header="0.3" footer="0.3"/>
  <pageSetup scale="8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 Tracy L (DOH)</dc:creator>
  <cp:lastModifiedBy>Mack, Tracy L </cp:lastModifiedBy>
  <cp:lastPrinted>2024-12-27T19:27:51Z</cp:lastPrinted>
  <dcterms:created xsi:type="dcterms:W3CDTF">2024-12-16T21:21:34Z</dcterms:created>
  <dcterms:modified xsi:type="dcterms:W3CDTF">2025-05-02T21:46:28Z</dcterms:modified>
</cp:coreProperties>
</file>